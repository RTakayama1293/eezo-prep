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KW\●仕入\★2026新EEZOスタートダッシュ専用ファイル\EC2606 みにとまとん　（オモシロ焼き菓子）\"/>
    </mc:Choice>
  </mc:AlternateContent>
  <xr:revisionPtr revIDLastSave="0" documentId="14_{70A07E60-4A5C-48B1-965D-0E50CF702C36}" xr6:coauthVersionLast="47" xr6:coauthVersionMax="47" xr10:uidLastSave="{00000000-0000-0000-0000-000000000000}"/>
  <bookViews>
    <workbookView xWindow="-120" yWindow="-120" windowWidth="29040" windowHeight="15720" xr2:uid="{11A4445F-75CD-46FF-A64B-4FBE8FED7D62}"/>
  </bookViews>
  <sheets>
    <sheet name="Sheet1" sheetId="1" r:id="rId1"/>
  </sheets>
  <definedNames>
    <definedName name="_xlnm._FilterDatabase" localSheetId="0" hidden="1">Sheet1!$I$4:$I$19</definedName>
    <definedName name="_xlnm.Print_Area" localSheetId="0">Sheet1!$A$1:$F$41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C46" i="1"/>
  <c r="F46" i="1"/>
  <c r="D45" i="1"/>
  <c r="D44" i="1"/>
  <c r="D46" i="1" s="1"/>
  <c r="F41" i="1"/>
  <c r="F25" i="1"/>
  <c r="F12" i="1"/>
  <c r="C41" i="1"/>
  <c r="C25" i="1"/>
  <c r="C12" i="1"/>
  <c r="D40" i="1"/>
  <c r="D24" i="1"/>
  <c r="D11" i="1"/>
  <c r="D39" i="1"/>
  <c r="D38" i="1"/>
  <c r="D37" i="1"/>
  <c r="D36" i="1"/>
  <c r="D35" i="1"/>
  <c r="D34" i="1"/>
  <c r="D33" i="1"/>
  <c r="D32" i="1"/>
  <c r="D31" i="1"/>
  <c r="D30" i="1"/>
  <c r="D29" i="1"/>
  <c r="D28" i="1"/>
  <c r="D23" i="1"/>
  <c r="D22" i="1"/>
  <c r="D21" i="1"/>
  <c r="D20" i="1"/>
  <c r="D19" i="1"/>
  <c r="D18" i="1"/>
  <c r="D17" i="1"/>
  <c r="D16" i="1"/>
  <c r="D15" i="1"/>
  <c r="D5" i="1"/>
  <c r="D6" i="1"/>
  <c r="D7" i="1"/>
  <c r="D8" i="1"/>
  <c r="D9" i="1"/>
  <c r="D10" i="1"/>
  <c r="D4" i="1"/>
  <c r="D12" i="1" l="1"/>
  <c r="D41" i="1"/>
  <c r="D25" i="1"/>
</calcChain>
</file>

<file path=xl/sharedStrings.xml><?xml version="1.0" encoding="utf-8"?>
<sst xmlns="http://schemas.openxmlformats.org/spreadsheetml/2006/main" count="97" uniqueCount="73">
  <si>
    <t>帆立しょうゆマドレーヌ×２</t>
  </si>
  <si>
    <t>あんかけ焼きそばクッキー×２</t>
  </si>
  <si>
    <t>にしんクラッカー×２</t>
  </si>
  <si>
    <t>スープカレークッキー×２</t>
  </si>
  <si>
    <t>昆布ランタン×２</t>
  </si>
  <si>
    <t>うこん＆シナモンクッキー×２</t>
  </si>
  <si>
    <t>しょうがぼーろ×２</t>
  </si>
  <si>
    <t>焼きいもクッキー×２</t>
  </si>
  <si>
    <t>ゆきまる×２</t>
  </si>
  <si>
    <t>ワインレーズンとココナッツのクッキー×２</t>
  </si>
  <si>
    <t>とうきびクッキー×２</t>
  </si>
  <si>
    <t>酒粕ガレットブルトンヌ×２</t>
  </si>
  <si>
    <t>おたる水族館非公認あざらしクッキー×１</t>
  </si>
  <si>
    <t>森の中のシマエナガクッキー×１</t>
  </si>
  <si>
    <t>紅茶とワインレーズンのフィナンシェ×２</t>
  </si>
  <si>
    <t>5倍味噌麹とオートミールのクッキー×１</t>
  </si>
  <si>
    <t>不苦労クッキー×１</t>
  </si>
  <si>
    <t>にしんクラッカー×１</t>
  </si>
  <si>
    <t>カニクリームコロッケタルト×１</t>
  </si>
  <si>
    <t>寿司ガリクッキー×１</t>
  </si>
  <si>
    <t>そば粉のフィナンシェ×２</t>
  </si>
  <si>
    <t>かぼちゃクッキー×２</t>
  </si>
  <si>
    <t>みたらしパイ×２</t>
  </si>
  <si>
    <t>個数</t>
    <rPh sb="0" eb="2">
      <t>コスウ</t>
    </rPh>
    <phoneticPr fontId="2"/>
  </si>
  <si>
    <t>【惣菜系】　箱代込3900円税込/送料別</t>
    <rPh sb="6" eb="8">
      <t>ハコダイ</t>
    </rPh>
    <rPh sb="8" eb="9">
      <t>コミ</t>
    </rPh>
    <rPh sb="13" eb="14">
      <t>エン</t>
    </rPh>
    <rPh sb="14" eb="16">
      <t>ゼイコミ</t>
    </rPh>
    <rPh sb="17" eb="19">
      <t>ソウリョウ</t>
    </rPh>
    <rPh sb="19" eb="20">
      <t>ベツ</t>
    </rPh>
    <phoneticPr fontId="2"/>
  </si>
  <si>
    <t>【お菓子系】　箱代込3900円税込/送料別</t>
    <rPh sb="7" eb="10">
      <t>ハコダイコミ</t>
    </rPh>
    <rPh sb="14" eb="15">
      <t>エン</t>
    </rPh>
    <rPh sb="15" eb="17">
      <t>ゼイコミ</t>
    </rPh>
    <rPh sb="18" eb="20">
      <t>ソウリョウ</t>
    </rPh>
    <rPh sb="20" eb="21">
      <t>ベツ</t>
    </rPh>
    <phoneticPr fontId="2"/>
  </si>
  <si>
    <t>みにとまとん　焼菓子セット　EEZO販売</t>
    <rPh sb="7" eb="10">
      <t>ヤキガシ</t>
    </rPh>
    <rPh sb="18" eb="20">
      <t>ハンバイ</t>
    </rPh>
    <phoneticPr fontId="2"/>
  </si>
  <si>
    <t>単価</t>
    <rPh sb="0" eb="2">
      <t>タンカ</t>
    </rPh>
    <phoneticPr fontId="2"/>
  </si>
  <si>
    <t>小計</t>
    <rPh sb="0" eb="2">
      <t>ショウケイ</t>
    </rPh>
    <phoneticPr fontId="2"/>
  </si>
  <si>
    <t>箱代</t>
    <rPh sb="0" eb="2">
      <t>ハコダイ</t>
    </rPh>
    <phoneticPr fontId="2"/>
  </si>
  <si>
    <t>一般売値</t>
    <rPh sb="0" eb="2">
      <t>イッパン</t>
    </rPh>
    <rPh sb="2" eb="4">
      <t>ウリネ</t>
    </rPh>
    <phoneticPr fontId="2"/>
  </si>
  <si>
    <t>商事仕入</t>
    <rPh sb="0" eb="2">
      <t>ショウジ</t>
    </rPh>
    <rPh sb="2" eb="4">
      <t>シイレ</t>
    </rPh>
    <phoneticPr fontId="2"/>
  </si>
  <si>
    <t>【総菜＆菓子 盛合わせ】 箱代込5000円税込/送料別</t>
    <rPh sb="1" eb="3">
      <t>ソウザイ</t>
    </rPh>
    <rPh sb="4" eb="6">
      <t>カシ</t>
    </rPh>
    <rPh sb="7" eb="9">
      <t>モリア</t>
    </rPh>
    <rPh sb="13" eb="15">
      <t>ハコダイ</t>
    </rPh>
    <rPh sb="15" eb="16">
      <t>コミ</t>
    </rPh>
    <rPh sb="20" eb="21">
      <t>エン</t>
    </rPh>
    <rPh sb="21" eb="23">
      <t>ゼイコミ</t>
    </rPh>
    <rPh sb="24" eb="26">
      <t>ソウリョウ</t>
    </rPh>
    <rPh sb="26" eb="27">
      <t>ベツ</t>
    </rPh>
    <phoneticPr fontId="2"/>
  </si>
  <si>
    <t>帆立しょうゆマドレーヌ</t>
    <phoneticPr fontId="2"/>
  </si>
  <si>
    <t>あんかけ焼きそばクッキー</t>
    <phoneticPr fontId="2"/>
  </si>
  <si>
    <t>にしんクラッカー</t>
    <phoneticPr fontId="2"/>
  </si>
  <si>
    <t>スープカレークッキー</t>
    <phoneticPr fontId="2"/>
  </si>
  <si>
    <t>昆布ランタン</t>
    <phoneticPr fontId="2"/>
  </si>
  <si>
    <t>うこん＆シナモンクッキー</t>
    <phoneticPr fontId="2"/>
  </si>
  <si>
    <t>しょうがぼーろ</t>
    <phoneticPr fontId="2"/>
  </si>
  <si>
    <t>焼きいもクッキー</t>
    <phoneticPr fontId="2"/>
  </si>
  <si>
    <t>ゆきまる</t>
    <phoneticPr fontId="2"/>
  </si>
  <si>
    <t>ワインレーズンとココナッツのクッキー</t>
    <phoneticPr fontId="2"/>
  </si>
  <si>
    <t>とうきびクッキー</t>
    <phoneticPr fontId="2"/>
  </si>
  <si>
    <t>酒粕ガレットブルトンヌ</t>
    <phoneticPr fontId="2"/>
  </si>
  <si>
    <t>おたる水族館非公認あざらしクッキー</t>
    <phoneticPr fontId="2"/>
  </si>
  <si>
    <t>森の中のシマエナガクッキー</t>
    <phoneticPr fontId="2"/>
  </si>
  <si>
    <t>紅茶とワインレーズンのフィナンシェ</t>
    <phoneticPr fontId="2"/>
  </si>
  <si>
    <t>5倍味噌麹とオートミールのクッキー</t>
    <phoneticPr fontId="2"/>
  </si>
  <si>
    <t>不苦労クッキー</t>
    <phoneticPr fontId="2"/>
  </si>
  <si>
    <t>カニクリームコロッケタルト</t>
    <phoneticPr fontId="2"/>
  </si>
  <si>
    <t>寿司ガリクッキー</t>
    <phoneticPr fontId="2"/>
  </si>
  <si>
    <t>そば粉のフィナンシェ</t>
    <phoneticPr fontId="2"/>
  </si>
  <si>
    <t>かぼちゃクッキー</t>
    <phoneticPr fontId="2"/>
  </si>
  <si>
    <t>みたらしパイ</t>
    <phoneticPr fontId="2"/>
  </si>
  <si>
    <t>個装撮影と開封し中身の撮影</t>
    <rPh sb="0" eb="2">
      <t>コソウ</t>
    </rPh>
    <rPh sb="2" eb="4">
      <t>サツエイ</t>
    </rPh>
    <rPh sb="5" eb="7">
      <t>カイフウ</t>
    </rPh>
    <rPh sb="8" eb="10">
      <t>ナカミ</t>
    </rPh>
    <rPh sb="11" eb="13">
      <t>サツエイ</t>
    </rPh>
    <phoneticPr fontId="2"/>
  </si>
  <si>
    <t>個</t>
    <rPh sb="0" eb="1">
      <t>コ</t>
    </rPh>
    <phoneticPr fontId="2"/>
  </si>
  <si>
    <t>６月11or12日小樽で撮影・商品単体撮影</t>
    <rPh sb="1" eb="2">
      <t>ガツ</t>
    </rPh>
    <rPh sb="8" eb="9">
      <t>ニチ</t>
    </rPh>
    <rPh sb="9" eb="11">
      <t>オタル</t>
    </rPh>
    <rPh sb="12" eb="14">
      <t>サツエイ</t>
    </rPh>
    <rPh sb="15" eb="17">
      <t>ショウヒン</t>
    </rPh>
    <rPh sb="17" eb="19">
      <t>タンタイ</t>
    </rPh>
    <rPh sb="19" eb="21">
      <t>サツエイ</t>
    </rPh>
    <phoneticPr fontId="2"/>
  </si>
  <si>
    <t>にんにくオイルとガーリックソルト（化粧箱入り）</t>
    <rPh sb="17" eb="20">
      <t>ケショウバコ</t>
    </rPh>
    <rPh sb="20" eb="21">
      <t>イ</t>
    </rPh>
    <phoneticPr fontId="2"/>
  </si>
  <si>
    <t>【調味料】　箱代込3100円税込/送料別</t>
    <rPh sb="1" eb="4">
      <t>チョウミリョウ</t>
    </rPh>
    <rPh sb="6" eb="8">
      <t>ハコダイ</t>
    </rPh>
    <rPh sb="8" eb="9">
      <t>コミ</t>
    </rPh>
    <rPh sb="13" eb="14">
      <t>エン</t>
    </rPh>
    <rPh sb="14" eb="16">
      <t>ゼイコミ</t>
    </rPh>
    <rPh sb="17" eb="19">
      <t>ソウリョウ</t>
    </rPh>
    <rPh sb="19" eb="20">
      <t>ベツ</t>
    </rPh>
    <phoneticPr fontId="2"/>
  </si>
  <si>
    <t>未開封、撮影後返却</t>
    <rPh sb="0" eb="3">
      <t>ミカイフウ</t>
    </rPh>
    <rPh sb="4" eb="7">
      <t>サツエイゴ</t>
    </rPh>
    <rPh sb="7" eb="9">
      <t>ヘンキャク</t>
    </rPh>
    <phoneticPr fontId="2"/>
  </si>
  <si>
    <t>送料は以下の通りです。</t>
  </si>
  <si>
    <t>北海道　400円</t>
  </si>
  <si>
    <t>東北（青森、岩手、宮城、秋田、山形、福島）500円</t>
  </si>
  <si>
    <t>関東（茨城、栃木、群馬、埼玉、千葉、東京、神奈川、山梨）500円</t>
  </si>
  <si>
    <t>信越（新潟、長野）600円</t>
  </si>
  <si>
    <t>北陸（富山、石川、福井）600円</t>
  </si>
  <si>
    <t>東海（岐阜、静岡、愛知、三重）600円</t>
  </si>
  <si>
    <t>近畿（滋賀、京都、大阪、兵庫、奈良、和歌山）700円</t>
  </si>
  <si>
    <t>中国（鳥取、島根、岡山、広島、山口）700円</t>
  </si>
  <si>
    <t>四国（香川、徳島、愛媛、高知）700円</t>
  </si>
  <si>
    <t>九州（福岡、佐賀、長﨑、大分、熊本、宮崎、鹿児島）700円</t>
  </si>
  <si>
    <t>沖縄　2000円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</si>
</sst>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¥&quot;#,##0;&quot;¥&quot;\-#,##0"/>
    <numFmt numFmtId="6" formatCode="&quot;¥&quot;#,##0;[Red]&quot;¥&quot;\-#,##0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0070C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5" fontId="0" fillId="0" borderId="0" xfId="0" applyNumberFormat="1" applyFill="1">
      <alignment vertical="center"/>
    </xf>
    <xf numFmtId="0" fontId="0" fillId="0" borderId="0" xfId="0" applyFill="1">
      <alignment vertical="center"/>
    </xf>
    <xf numFmtId="5" fontId="1" fillId="0" borderId="1" xfId="0" applyNumberFormat="1" applyFont="1" applyFill="1" applyBorder="1">
      <alignment vertical="center"/>
    </xf>
    <xf numFmtId="0" fontId="0" fillId="0" borderId="1" xfId="0" applyFill="1" applyBorder="1">
      <alignment vertical="center"/>
    </xf>
    <xf numFmtId="5" fontId="4" fillId="0" borderId="0" xfId="0" applyNumberFormat="1" applyFont="1" applyFill="1">
      <alignment vertical="center"/>
    </xf>
    <xf numFmtId="5" fontId="4" fillId="0" borderId="1" xfId="0" applyNumberFormat="1" applyFont="1" applyFill="1" applyBorder="1">
      <alignment vertical="center"/>
    </xf>
    <xf numFmtId="5" fontId="5" fillId="0" borderId="1" xfId="0" applyNumberFormat="1" applyFont="1" applyFill="1" applyBorder="1">
      <alignment vertical="center"/>
    </xf>
    <xf numFmtId="0" fontId="3" fillId="0" borderId="0" xfId="0" applyFont="1" applyAlignment="1">
      <alignment horizontal="right" vertical="center"/>
    </xf>
    <xf numFmtId="6" fontId="0" fillId="0" borderId="1" xfId="0" applyNumberFormat="1" applyBorder="1">
      <alignment vertical="center"/>
    </xf>
    <xf numFmtId="6" fontId="3" fillId="0" borderId="1" xfId="0" applyNumberFormat="1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3" fillId="0" borderId="2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7" xfId="0" applyFont="1" applyBorder="1">
      <alignment vertical="center"/>
    </xf>
    <xf numFmtId="0" fontId="1" fillId="5" borderId="1" xfId="0" applyFont="1" applyFill="1" applyBorder="1">
      <alignment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5" fillId="5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6" fillId="0" borderId="0" xfId="0" applyFont="1" applyAlignment="1">
      <alignment horizontal="left" vertical="center"/>
    </xf>
    <xf numFmtId="5" fontId="7" fillId="0" borderId="1" xfId="0" applyNumberFormat="1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Border="1">
      <alignment vertical="center"/>
    </xf>
    <xf numFmtId="6" fontId="5" fillId="0" borderId="1" xfId="0" applyNumberFormat="1" applyFont="1" applyBorder="1">
      <alignment vertical="center"/>
    </xf>
    <xf numFmtId="6" fontId="6" fillId="0" borderId="1" xfId="0" applyNumberFormat="1" applyFont="1" applyBorder="1">
      <alignment vertical="center"/>
    </xf>
    <xf numFmtId="0" fontId="0" fillId="0" borderId="5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66675</xdr:rowOff>
    </xdr:from>
    <xdr:to>
      <xdr:col>4</xdr:col>
      <xdr:colOff>142875</xdr:colOff>
      <xdr:row>11</xdr:row>
      <xdr:rowOff>152400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D63ADFE7-3E11-4229-9E6E-D427193AA085}"/>
            </a:ext>
          </a:extLst>
        </xdr:cNvPr>
        <xdr:cNvSpPr/>
      </xdr:nvSpPr>
      <xdr:spPr>
        <a:xfrm>
          <a:off x="5153025" y="2686050"/>
          <a:ext cx="142875" cy="857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40</xdr:row>
      <xdr:rowOff>66675</xdr:rowOff>
    </xdr:from>
    <xdr:to>
      <xdr:col>4</xdr:col>
      <xdr:colOff>142875</xdr:colOff>
      <xdr:row>40</xdr:row>
      <xdr:rowOff>152400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9D48EB8A-5E43-4305-A63C-739FE929D2E2}"/>
            </a:ext>
          </a:extLst>
        </xdr:cNvPr>
        <xdr:cNvSpPr/>
      </xdr:nvSpPr>
      <xdr:spPr>
        <a:xfrm>
          <a:off x="5153025" y="9591675"/>
          <a:ext cx="142875" cy="857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24</xdr:row>
      <xdr:rowOff>66675</xdr:rowOff>
    </xdr:from>
    <xdr:to>
      <xdr:col>4</xdr:col>
      <xdr:colOff>142875</xdr:colOff>
      <xdr:row>24</xdr:row>
      <xdr:rowOff>152400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9383BD2F-B2CA-466F-8046-2E1FA1082594}"/>
            </a:ext>
          </a:extLst>
        </xdr:cNvPr>
        <xdr:cNvSpPr/>
      </xdr:nvSpPr>
      <xdr:spPr>
        <a:xfrm>
          <a:off x="5153025" y="5781675"/>
          <a:ext cx="142875" cy="857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45</xdr:row>
      <xdr:rowOff>66675</xdr:rowOff>
    </xdr:from>
    <xdr:to>
      <xdr:col>4</xdr:col>
      <xdr:colOff>142875</xdr:colOff>
      <xdr:row>45</xdr:row>
      <xdr:rowOff>152400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B56DDE14-C999-49FC-A49A-EF07EB05A154}"/>
            </a:ext>
          </a:extLst>
        </xdr:cNvPr>
        <xdr:cNvSpPr/>
      </xdr:nvSpPr>
      <xdr:spPr>
        <a:xfrm>
          <a:off x="5267325" y="9601200"/>
          <a:ext cx="142875" cy="857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190501</xdr:colOff>
      <xdr:row>46</xdr:row>
      <xdr:rowOff>28575</xdr:rowOff>
    </xdr:from>
    <xdr:to>
      <xdr:col>0</xdr:col>
      <xdr:colOff>1295401</xdr:colOff>
      <xdr:row>54</xdr:row>
      <xdr:rowOff>67952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39959C4-56D4-4C51-9681-FAAF4D691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1" y="11001375"/>
          <a:ext cx="1104900" cy="1944377"/>
        </a:xfrm>
        <a:prstGeom prst="rect">
          <a:avLst/>
        </a:prstGeom>
      </xdr:spPr>
    </xdr:pic>
    <xdr:clientData/>
  </xdr:twoCellAnchor>
  <xdr:twoCellAnchor editAs="oneCell">
    <xdr:from>
      <xdr:col>0</xdr:col>
      <xdr:colOff>1419226</xdr:colOff>
      <xdr:row>46</xdr:row>
      <xdr:rowOff>85725</xdr:rowOff>
    </xdr:from>
    <xdr:to>
      <xdr:col>4</xdr:col>
      <xdr:colOff>520159</xdr:colOff>
      <xdr:row>54</xdr:row>
      <xdr:rowOff>114763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8A389A2-CAD6-4A3A-96C0-211705A42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9226" y="11058525"/>
          <a:ext cx="4368258" cy="19340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011A-AAEB-4F35-AEC7-E9CF347D5AA8}">
  <dimension ref="A1:T46"/>
  <sheetViews>
    <sheetView tabSelected="1" workbookViewId="0">
      <selection activeCell="O16" sqref="O16"/>
    </sheetView>
  </sheetViews>
  <sheetFormatPr defaultRowHeight="18.75" x14ac:dyDescent="0.4"/>
  <cols>
    <col min="1" max="1" width="49.625" bestFit="1" customWidth="1"/>
    <col min="2" max="2" width="7.125" style="8" bestFit="1" customWidth="1"/>
    <col min="3" max="3" width="5.25" style="9" bestFit="1" customWidth="1"/>
    <col min="4" max="4" width="7.125" style="12" bestFit="1" customWidth="1"/>
    <col min="6" max="6" width="9" bestFit="1" customWidth="1"/>
  </cols>
  <sheetData>
    <row r="1" spans="1:20" x14ac:dyDescent="0.4">
      <c r="A1" t="s">
        <v>26</v>
      </c>
      <c r="F1" s="15"/>
      <c r="H1" s="24" t="s">
        <v>57</v>
      </c>
      <c r="I1" s="18"/>
      <c r="J1" s="18"/>
      <c r="K1" s="18"/>
      <c r="L1" s="19"/>
      <c r="N1" s="24" t="s">
        <v>61</v>
      </c>
      <c r="O1" s="18"/>
      <c r="P1" s="18"/>
      <c r="Q1" s="18"/>
      <c r="R1" s="18"/>
      <c r="S1" s="18"/>
      <c r="T1" s="19"/>
    </row>
    <row r="2" spans="1:20" x14ac:dyDescent="0.4">
      <c r="H2" s="29">
        <f>SUM(H3:H30)</f>
        <v>22</v>
      </c>
      <c r="I2" s="30" t="s">
        <v>56</v>
      </c>
      <c r="J2" s="20" t="s">
        <v>55</v>
      </c>
      <c r="K2" s="20"/>
      <c r="L2" s="21"/>
      <c r="N2" s="41" t="s">
        <v>62</v>
      </c>
      <c r="O2" s="20"/>
      <c r="P2" s="20"/>
      <c r="Q2" s="20"/>
      <c r="R2" s="20"/>
      <c r="S2" s="20"/>
      <c r="T2" s="21"/>
    </row>
    <row r="3" spans="1:20" x14ac:dyDescent="0.4">
      <c r="A3" s="5" t="s">
        <v>24</v>
      </c>
      <c r="B3" s="10" t="s">
        <v>27</v>
      </c>
      <c r="C3" s="11" t="s">
        <v>23</v>
      </c>
      <c r="D3" s="13" t="s">
        <v>28</v>
      </c>
      <c r="E3" s="1" t="s">
        <v>30</v>
      </c>
      <c r="F3" s="1" t="s">
        <v>31</v>
      </c>
      <c r="H3" s="25">
        <v>1</v>
      </c>
      <c r="I3" s="2" t="s">
        <v>33</v>
      </c>
      <c r="J3" s="20"/>
      <c r="K3" s="20"/>
      <c r="L3" s="21"/>
      <c r="N3" s="41" t="s">
        <v>63</v>
      </c>
      <c r="O3" s="20"/>
      <c r="P3" s="20"/>
      <c r="Q3" s="20"/>
      <c r="R3" s="20"/>
      <c r="S3" s="20"/>
      <c r="T3" s="21"/>
    </row>
    <row r="4" spans="1:20" x14ac:dyDescent="0.4">
      <c r="A4" s="2" t="s">
        <v>0</v>
      </c>
      <c r="B4" s="10">
        <v>281</v>
      </c>
      <c r="C4" s="11">
        <v>2</v>
      </c>
      <c r="D4" s="13">
        <f>+B4*C4</f>
        <v>562</v>
      </c>
      <c r="E4" s="1"/>
      <c r="F4" s="1"/>
      <c r="H4" s="25">
        <v>1</v>
      </c>
      <c r="I4" s="2" t="s">
        <v>34</v>
      </c>
      <c r="J4" s="20"/>
      <c r="K4" s="20"/>
      <c r="L4" s="21"/>
      <c r="N4" s="41" t="s">
        <v>64</v>
      </c>
      <c r="O4" s="20"/>
      <c r="P4" s="20"/>
      <c r="Q4" s="20"/>
      <c r="R4" s="20"/>
      <c r="S4" s="20"/>
      <c r="T4" s="21"/>
    </row>
    <row r="5" spans="1:20" x14ac:dyDescent="0.4">
      <c r="A5" s="2" t="s">
        <v>1</v>
      </c>
      <c r="B5" s="10">
        <v>216</v>
      </c>
      <c r="C5" s="11">
        <v>2</v>
      </c>
      <c r="D5" s="13">
        <f t="shared" ref="D5:D11" si="0">+B5*C5</f>
        <v>432</v>
      </c>
      <c r="E5" s="1"/>
      <c r="F5" s="1"/>
      <c r="H5" s="25">
        <v>1</v>
      </c>
      <c r="I5" s="2" t="s">
        <v>35</v>
      </c>
      <c r="J5" s="20"/>
      <c r="K5" s="20"/>
      <c r="L5" s="21"/>
      <c r="N5" s="41" t="s">
        <v>65</v>
      </c>
      <c r="O5" s="20"/>
      <c r="P5" s="20"/>
      <c r="Q5" s="20"/>
      <c r="R5" s="20"/>
      <c r="S5" s="20"/>
      <c r="T5" s="21"/>
    </row>
    <row r="6" spans="1:20" x14ac:dyDescent="0.4">
      <c r="A6" s="2" t="s">
        <v>2</v>
      </c>
      <c r="B6" s="10">
        <v>324</v>
      </c>
      <c r="C6" s="11">
        <v>2</v>
      </c>
      <c r="D6" s="13">
        <f t="shared" si="0"/>
        <v>648</v>
      </c>
      <c r="E6" s="1"/>
      <c r="F6" s="1"/>
      <c r="H6" s="25">
        <v>1</v>
      </c>
      <c r="I6" s="2" t="s">
        <v>36</v>
      </c>
      <c r="J6" s="20"/>
      <c r="K6" s="20"/>
      <c r="L6" s="21"/>
      <c r="N6" s="41" t="s">
        <v>66</v>
      </c>
      <c r="O6" s="20"/>
      <c r="P6" s="20"/>
      <c r="Q6" s="20"/>
      <c r="R6" s="20"/>
      <c r="S6" s="20"/>
      <c r="T6" s="21"/>
    </row>
    <row r="7" spans="1:20" x14ac:dyDescent="0.4">
      <c r="A7" s="2" t="s">
        <v>3</v>
      </c>
      <c r="B7" s="10">
        <v>248</v>
      </c>
      <c r="C7" s="11">
        <v>2</v>
      </c>
      <c r="D7" s="13">
        <f t="shared" si="0"/>
        <v>496</v>
      </c>
      <c r="E7" s="1"/>
      <c r="F7" s="1"/>
      <c r="H7" s="25">
        <v>1</v>
      </c>
      <c r="I7" s="2" t="s">
        <v>37</v>
      </c>
      <c r="J7" s="20"/>
      <c r="K7" s="20"/>
      <c r="L7" s="21"/>
      <c r="N7" s="41" t="s">
        <v>67</v>
      </c>
      <c r="O7" s="20"/>
      <c r="P7" s="20"/>
      <c r="Q7" s="20"/>
      <c r="R7" s="20"/>
      <c r="S7" s="20"/>
      <c r="T7" s="21"/>
    </row>
    <row r="8" spans="1:20" x14ac:dyDescent="0.4">
      <c r="A8" s="2" t="s">
        <v>4</v>
      </c>
      <c r="B8" s="10">
        <v>324</v>
      </c>
      <c r="C8" s="11">
        <v>2</v>
      </c>
      <c r="D8" s="13">
        <f t="shared" si="0"/>
        <v>648</v>
      </c>
      <c r="E8" s="1"/>
      <c r="F8" s="1"/>
      <c r="H8" s="25">
        <v>1</v>
      </c>
      <c r="I8" s="2" t="s">
        <v>38</v>
      </c>
      <c r="J8" s="20"/>
      <c r="K8" s="20"/>
      <c r="L8" s="21"/>
      <c r="N8" s="41" t="s">
        <v>68</v>
      </c>
      <c r="O8" s="20"/>
      <c r="P8" s="20"/>
      <c r="Q8" s="20"/>
      <c r="R8" s="20"/>
      <c r="S8" s="20"/>
      <c r="T8" s="21"/>
    </row>
    <row r="9" spans="1:20" x14ac:dyDescent="0.4">
      <c r="A9" s="2" t="s">
        <v>5</v>
      </c>
      <c r="B9" s="10">
        <v>189</v>
      </c>
      <c r="C9" s="11">
        <v>2</v>
      </c>
      <c r="D9" s="13">
        <f t="shared" si="0"/>
        <v>378</v>
      </c>
      <c r="E9" s="1"/>
      <c r="F9" s="1"/>
      <c r="H9" s="25">
        <v>1</v>
      </c>
      <c r="I9" s="2" t="s">
        <v>39</v>
      </c>
      <c r="J9" s="20"/>
      <c r="K9" s="20"/>
      <c r="L9" s="21"/>
      <c r="N9" s="41" t="s">
        <v>69</v>
      </c>
      <c r="O9" s="20"/>
      <c r="P9" s="20"/>
      <c r="Q9" s="20"/>
      <c r="R9" s="20"/>
      <c r="S9" s="20"/>
      <c r="T9" s="21"/>
    </row>
    <row r="10" spans="1:20" x14ac:dyDescent="0.4">
      <c r="A10" s="2" t="s">
        <v>6</v>
      </c>
      <c r="B10" s="10">
        <v>216</v>
      </c>
      <c r="C10" s="11">
        <v>2</v>
      </c>
      <c r="D10" s="13">
        <f t="shared" si="0"/>
        <v>432</v>
      </c>
      <c r="E10" s="1"/>
      <c r="F10" s="1"/>
      <c r="H10" s="25">
        <v>1</v>
      </c>
      <c r="I10" s="3" t="s">
        <v>40</v>
      </c>
      <c r="J10" s="20"/>
      <c r="K10" s="20"/>
      <c r="L10" s="21"/>
      <c r="N10" s="41" t="s">
        <v>70</v>
      </c>
      <c r="O10" s="20"/>
      <c r="P10" s="20"/>
      <c r="Q10" s="20"/>
      <c r="R10" s="20"/>
      <c r="S10" s="20"/>
      <c r="T10" s="21"/>
    </row>
    <row r="11" spans="1:20" x14ac:dyDescent="0.4">
      <c r="A11" s="2" t="s">
        <v>29</v>
      </c>
      <c r="B11" s="36">
        <v>300</v>
      </c>
      <c r="C11" s="11">
        <v>1</v>
      </c>
      <c r="D11" s="13">
        <f t="shared" si="0"/>
        <v>300</v>
      </c>
      <c r="E11" s="1"/>
      <c r="F11" s="1"/>
      <c r="H11" s="25">
        <v>1</v>
      </c>
      <c r="I11" s="3" t="s">
        <v>41</v>
      </c>
      <c r="J11" s="20"/>
      <c r="K11" s="20"/>
      <c r="L11" s="21"/>
      <c r="N11" s="41" t="s">
        <v>71</v>
      </c>
      <c r="O11" s="20"/>
      <c r="P11" s="20"/>
      <c r="Q11" s="20"/>
      <c r="R11" s="20"/>
      <c r="S11" s="20"/>
      <c r="T11" s="21"/>
    </row>
    <row r="12" spans="1:20" x14ac:dyDescent="0.4">
      <c r="A12" s="2"/>
      <c r="B12" s="10"/>
      <c r="C12" s="11">
        <f>SUM(C4:C11)</f>
        <v>15</v>
      </c>
      <c r="D12" s="13">
        <f>SUM(D4:D11)</f>
        <v>3896</v>
      </c>
      <c r="E12" s="16">
        <v>3900</v>
      </c>
      <c r="F12" s="17">
        <f>+E12*0.7</f>
        <v>2730</v>
      </c>
      <c r="H12" s="25">
        <v>1</v>
      </c>
      <c r="I12" s="3" t="s">
        <v>42</v>
      </c>
      <c r="J12" s="20"/>
      <c r="K12" s="20"/>
      <c r="L12" s="21"/>
      <c r="N12" s="41" t="s">
        <v>72</v>
      </c>
      <c r="O12" s="20"/>
      <c r="P12" s="20"/>
      <c r="Q12" s="20"/>
      <c r="R12" s="20"/>
      <c r="S12" s="20"/>
      <c r="T12" s="21"/>
    </row>
    <row r="13" spans="1:20" x14ac:dyDescent="0.4">
      <c r="H13" s="25">
        <v>1</v>
      </c>
      <c r="I13" s="3" t="s">
        <v>43</v>
      </c>
      <c r="J13" s="20"/>
      <c r="K13" s="20"/>
      <c r="L13" s="21"/>
      <c r="N13" s="41"/>
      <c r="O13" s="20"/>
      <c r="P13" s="20"/>
      <c r="Q13" s="20"/>
      <c r="R13" s="20"/>
      <c r="S13" s="20"/>
      <c r="T13" s="21"/>
    </row>
    <row r="14" spans="1:20" x14ac:dyDescent="0.4">
      <c r="A14" s="6" t="s">
        <v>25</v>
      </c>
      <c r="B14" s="10" t="s">
        <v>27</v>
      </c>
      <c r="C14" s="11" t="s">
        <v>23</v>
      </c>
      <c r="D14" s="13" t="s">
        <v>28</v>
      </c>
      <c r="E14" s="1" t="s">
        <v>30</v>
      </c>
      <c r="F14" s="1" t="s">
        <v>31</v>
      </c>
      <c r="H14" s="25">
        <v>1</v>
      </c>
      <c r="I14" s="3" t="s">
        <v>44</v>
      </c>
      <c r="J14" s="20"/>
      <c r="K14" s="20"/>
      <c r="L14" s="21"/>
      <c r="N14" s="41"/>
      <c r="O14" s="20"/>
      <c r="P14" s="20"/>
      <c r="Q14" s="20"/>
      <c r="R14" s="20"/>
      <c r="S14" s="20"/>
      <c r="T14" s="21"/>
    </row>
    <row r="15" spans="1:20" x14ac:dyDescent="0.4">
      <c r="A15" s="3" t="s">
        <v>7</v>
      </c>
      <c r="B15" s="10">
        <v>248</v>
      </c>
      <c r="C15" s="11">
        <v>2</v>
      </c>
      <c r="D15" s="13">
        <f t="shared" ref="D15:D24" si="1">+B15*C15</f>
        <v>496</v>
      </c>
      <c r="E15" s="1"/>
      <c r="F15" s="1"/>
      <c r="H15" s="25">
        <v>1</v>
      </c>
      <c r="I15" s="3" t="s">
        <v>45</v>
      </c>
      <c r="J15" s="20"/>
      <c r="K15" s="20"/>
      <c r="L15" s="21"/>
      <c r="N15" s="41"/>
      <c r="O15" s="20"/>
      <c r="P15" s="20"/>
      <c r="Q15" s="20"/>
      <c r="R15" s="20"/>
      <c r="S15" s="20"/>
      <c r="T15" s="21"/>
    </row>
    <row r="16" spans="1:20" ht="19.5" thickBot="1" x14ac:dyDescent="0.45">
      <c r="A16" s="3" t="s">
        <v>8</v>
      </c>
      <c r="B16" s="10">
        <v>270</v>
      </c>
      <c r="C16" s="11">
        <v>2</v>
      </c>
      <c r="D16" s="13">
        <f t="shared" si="1"/>
        <v>540</v>
      </c>
      <c r="E16" s="1"/>
      <c r="F16" s="1"/>
      <c r="H16" s="25">
        <v>1</v>
      </c>
      <c r="I16" s="3" t="s">
        <v>46</v>
      </c>
      <c r="J16" s="20"/>
      <c r="K16" s="20"/>
      <c r="L16" s="21"/>
      <c r="N16" s="32"/>
      <c r="O16" s="22"/>
      <c r="P16" s="22"/>
      <c r="Q16" s="22"/>
      <c r="R16" s="22"/>
      <c r="S16" s="22"/>
      <c r="T16" s="23"/>
    </row>
    <row r="17" spans="1:12" x14ac:dyDescent="0.4">
      <c r="A17" s="3" t="s">
        <v>9</v>
      </c>
      <c r="B17" s="10">
        <v>248</v>
      </c>
      <c r="C17" s="11">
        <v>2</v>
      </c>
      <c r="D17" s="13">
        <f t="shared" si="1"/>
        <v>496</v>
      </c>
      <c r="E17" s="1"/>
      <c r="F17" s="1"/>
      <c r="H17" s="25">
        <v>1</v>
      </c>
      <c r="I17" s="3" t="s">
        <v>47</v>
      </c>
      <c r="J17" s="20"/>
      <c r="K17" s="20"/>
      <c r="L17" s="21"/>
    </row>
    <row r="18" spans="1:12" x14ac:dyDescent="0.4">
      <c r="A18" s="3" t="s">
        <v>10</v>
      </c>
      <c r="B18" s="10">
        <v>189</v>
      </c>
      <c r="C18" s="11">
        <v>2</v>
      </c>
      <c r="D18" s="13">
        <f t="shared" si="1"/>
        <v>378</v>
      </c>
      <c r="E18" s="1"/>
      <c r="F18" s="1"/>
      <c r="H18" s="25">
        <v>1</v>
      </c>
      <c r="I18" s="3" t="s">
        <v>48</v>
      </c>
      <c r="J18" s="20"/>
      <c r="K18" s="20"/>
      <c r="L18" s="21"/>
    </row>
    <row r="19" spans="1:12" x14ac:dyDescent="0.4">
      <c r="A19" s="3" t="s">
        <v>11</v>
      </c>
      <c r="B19" s="10">
        <v>324</v>
      </c>
      <c r="C19" s="11">
        <v>2</v>
      </c>
      <c r="D19" s="13">
        <f t="shared" si="1"/>
        <v>648</v>
      </c>
      <c r="E19" s="1"/>
      <c r="F19" s="1"/>
      <c r="H19" s="25"/>
      <c r="I19" s="4"/>
      <c r="J19" s="20"/>
      <c r="K19" s="20"/>
      <c r="L19" s="21"/>
    </row>
    <row r="20" spans="1:12" x14ac:dyDescent="0.4">
      <c r="A20" s="3" t="s">
        <v>12</v>
      </c>
      <c r="B20" s="10">
        <v>216</v>
      </c>
      <c r="C20" s="11">
        <v>1</v>
      </c>
      <c r="D20" s="13">
        <f t="shared" si="1"/>
        <v>216</v>
      </c>
      <c r="E20" s="1"/>
      <c r="F20" s="1"/>
      <c r="H20" s="25">
        <v>1</v>
      </c>
      <c r="I20" s="4" t="s">
        <v>49</v>
      </c>
      <c r="J20" s="20"/>
      <c r="K20" s="20"/>
      <c r="L20" s="21"/>
    </row>
    <row r="21" spans="1:12" x14ac:dyDescent="0.4">
      <c r="A21" s="3" t="s">
        <v>13</v>
      </c>
      <c r="B21" s="10">
        <v>216</v>
      </c>
      <c r="C21" s="11">
        <v>1</v>
      </c>
      <c r="D21" s="13">
        <f t="shared" si="1"/>
        <v>216</v>
      </c>
      <c r="E21" s="1"/>
      <c r="F21" s="1"/>
      <c r="H21" s="25"/>
      <c r="I21" s="4"/>
      <c r="J21" s="20"/>
      <c r="K21" s="20"/>
      <c r="L21" s="21"/>
    </row>
    <row r="22" spans="1:12" x14ac:dyDescent="0.4">
      <c r="A22" s="3" t="s">
        <v>14</v>
      </c>
      <c r="B22" s="10">
        <v>216</v>
      </c>
      <c r="C22" s="11">
        <v>2</v>
      </c>
      <c r="D22" s="13">
        <f t="shared" si="1"/>
        <v>432</v>
      </c>
      <c r="E22" s="1"/>
      <c r="F22" s="1"/>
      <c r="H22" s="25"/>
      <c r="I22" s="4"/>
      <c r="J22" s="20"/>
      <c r="K22" s="20"/>
      <c r="L22" s="21"/>
    </row>
    <row r="23" spans="1:12" x14ac:dyDescent="0.4">
      <c r="A23" s="3" t="s">
        <v>15</v>
      </c>
      <c r="B23" s="10">
        <v>324</v>
      </c>
      <c r="C23" s="11">
        <v>1</v>
      </c>
      <c r="D23" s="13">
        <f t="shared" si="1"/>
        <v>324</v>
      </c>
      <c r="E23" s="1"/>
      <c r="F23" s="1"/>
      <c r="H23" s="25"/>
      <c r="I23" s="4"/>
      <c r="J23" s="20"/>
      <c r="K23" s="20"/>
      <c r="L23" s="21"/>
    </row>
    <row r="24" spans="1:12" x14ac:dyDescent="0.4">
      <c r="A24" s="3" t="s">
        <v>29</v>
      </c>
      <c r="B24" s="36">
        <v>300</v>
      </c>
      <c r="C24" s="11">
        <v>1</v>
      </c>
      <c r="D24" s="13">
        <f t="shared" si="1"/>
        <v>300</v>
      </c>
      <c r="E24" s="1"/>
      <c r="F24" s="1"/>
      <c r="H24" s="25">
        <v>1</v>
      </c>
      <c r="I24" s="4" t="s">
        <v>50</v>
      </c>
      <c r="J24" s="20"/>
      <c r="K24" s="20"/>
      <c r="L24" s="21"/>
    </row>
    <row r="25" spans="1:12" x14ac:dyDescent="0.4">
      <c r="A25" s="3"/>
      <c r="B25" s="10"/>
      <c r="C25" s="11">
        <f>SUM(C15:C24)</f>
        <v>16</v>
      </c>
      <c r="D25" s="13">
        <f>SUM(D15:D24)</f>
        <v>4046</v>
      </c>
      <c r="E25" s="16">
        <v>3900</v>
      </c>
      <c r="F25" s="17">
        <f>+E25*0.7</f>
        <v>2730</v>
      </c>
      <c r="H25" s="25">
        <v>1</v>
      </c>
      <c r="I25" s="4" t="s">
        <v>51</v>
      </c>
      <c r="J25" s="20"/>
      <c r="K25" s="20"/>
      <c r="L25" s="21"/>
    </row>
    <row r="26" spans="1:12" x14ac:dyDescent="0.4">
      <c r="H26" s="25"/>
      <c r="I26" s="4"/>
      <c r="J26" s="20"/>
      <c r="K26" s="20"/>
      <c r="L26" s="21"/>
    </row>
    <row r="27" spans="1:12" x14ac:dyDescent="0.4">
      <c r="A27" s="7" t="s">
        <v>32</v>
      </c>
      <c r="B27" s="10" t="s">
        <v>27</v>
      </c>
      <c r="C27" s="11" t="s">
        <v>23</v>
      </c>
      <c r="D27" s="13" t="s">
        <v>28</v>
      </c>
      <c r="E27" s="1" t="s">
        <v>30</v>
      </c>
      <c r="F27" s="1" t="s">
        <v>31</v>
      </c>
      <c r="H27" s="25">
        <v>1</v>
      </c>
      <c r="I27" s="4" t="s">
        <v>52</v>
      </c>
      <c r="J27" s="20"/>
      <c r="K27" s="20"/>
      <c r="L27" s="21"/>
    </row>
    <row r="28" spans="1:12" x14ac:dyDescent="0.4">
      <c r="A28" s="4" t="s">
        <v>0</v>
      </c>
      <c r="B28" s="10">
        <v>281</v>
      </c>
      <c r="C28" s="11">
        <v>2</v>
      </c>
      <c r="D28" s="13">
        <f t="shared" ref="D28:D40" si="2">+B28*C28</f>
        <v>562</v>
      </c>
      <c r="E28" s="1"/>
      <c r="F28" s="1"/>
      <c r="H28" s="25">
        <v>1</v>
      </c>
      <c r="I28" s="4" t="s">
        <v>53</v>
      </c>
      <c r="J28" s="20"/>
      <c r="K28" s="20"/>
      <c r="L28" s="21"/>
    </row>
    <row r="29" spans="1:12" x14ac:dyDescent="0.4">
      <c r="A29" s="4" t="s">
        <v>16</v>
      </c>
      <c r="B29" s="10">
        <v>248</v>
      </c>
      <c r="C29" s="11">
        <v>1</v>
      </c>
      <c r="D29" s="13">
        <f t="shared" si="2"/>
        <v>248</v>
      </c>
      <c r="E29" s="1"/>
      <c r="F29" s="1"/>
      <c r="H29" s="25">
        <v>1</v>
      </c>
      <c r="I29" s="4" t="s">
        <v>54</v>
      </c>
      <c r="J29" s="20"/>
      <c r="K29" s="20"/>
      <c r="L29" s="21"/>
    </row>
    <row r="30" spans="1:12" x14ac:dyDescent="0.4">
      <c r="A30" s="4" t="s">
        <v>1</v>
      </c>
      <c r="B30" s="10">
        <v>216</v>
      </c>
      <c r="C30" s="11">
        <v>2</v>
      </c>
      <c r="D30" s="13">
        <f t="shared" si="2"/>
        <v>432</v>
      </c>
      <c r="E30" s="1"/>
      <c r="F30" s="1"/>
      <c r="H30" s="26"/>
      <c r="I30" s="4"/>
      <c r="J30" s="20"/>
      <c r="K30" s="20"/>
      <c r="L30" s="21"/>
    </row>
    <row r="31" spans="1:12" ht="19.5" thickBot="1" x14ac:dyDescent="0.45">
      <c r="A31" s="4" t="s">
        <v>17</v>
      </c>
      <c r="B31" s="10">
        <v>324</v>
      </c>
      <c r="C31" s="11">
        <v>1</v>
      </c>
      <c r="D31" s="13">
        <f t="shared" si="2"/>
        <v>324</v>
      </c>
      <c r="E31" s="1"/>
      <c r="F31" s="1"/>
      <c r="H31" s="27"/>
      <c r="I31" s="22"/>
      <c r="J31" s="22"/>
      <c r="K31" s="22"/>
      <c r="L31" s="23"/>
    </row>
    <row r="32" spans="1:12" x14ac:dyDescent="0.4">
      <c r="A32" s="4" t="s">
        <v>3</v>
      </c>
      <c r="B32" s="10">
        <v>248</v>
      </c>
      <c r="C32" s="11">
        <v>2</v>
      </c>
      <c r="D32" s="13">
        <f t="shared" si="2"/>
        <v>496</v>
      </c>
      <c r="E32" s="1"/>
      <c r="F32" s="1"/>
      <c r="H32" s="31"/>
      <c r="I32" s="18"/>
      <c r="J32" s="35" t="s">
        <v>60</v>
      </c>
      <c r="K32" s="18"/>
      <c r="L32" s="19"/>
    </row>
    <row r="33" spans="1:12" x14ac:dyDescent="0.4">
      <c r="A33" s="4" t="s">
        <v>18</v>
      </c>
      <c r="B33" s="10">
        <v>281</v>
      </c>
      <c r="C33" s="11">
        <v>1</v>
      </c>
      <c r="D33" s="13">
        <f t="shared" si="2"/>
        <v>281</v>
      </c>
      <c r="E33" s="1"/>
      <c r="F33" s="1"/>
      <c r="H33" s="25">
        <v>1</v>
      </c>
      <c r="I33" s="34" t="s">
        <v>58</v>
      </c>
      <c r="J33" s="20"/>
      <c r="K33" s="20"/>
      <c r="L33" s="21"/>
    </row>
    <row r="34" spans="1:12" ht="19.5" thickBot="1" x14ac:dyDescent="0.45">
      <c r="A34" s="4" t="s">
        <v>19</v>
      </c>
      <c r="B34" s="10">
        <v>189</v>
      </c>
      <c r="C34" s="11">
        <v>1</v>
      </c>
      <c r="D34" s="13">
        <f t="shared" si="2"/>
        <v>189</v>
      </c>
      <c r="E34" s="1"/>
      <c r="F34" s="1"/>
      <c r="H34" s="32"/>
      <c r="I34" s="22"/>
      <c r="J34" s="22"/>
      <c r="K34" s="22"/>
      <c r="L34" s="23"/>
    </row>
    <row r="35" spans="1:12" x14ac:dyDescent="0.4">
      <c r="A35" s="4" t="s">
        <v>8</v>
      </c>
      <c r="B35" s="10">
        <v>270</v>
      </c>
      <c r="C35" s="11">
        <v>2</v>
      </c>
      <c r="D35" s="13">
        <f t="shared" si="2"/>
        <v>540</v>
      </c>
      <c r="E35" s="1"/>
      <c r="F35" s="1"/>
    </row>
    <row r="36" spans="1:12" x14ac:dyDescent="0.4">
      <c r="A36" s="4" t="s">
        <v>20</v>
      </c>
      <c r="B36" s="10">
        <v>216</v>
      </c>
      <c r="C36" s="11">
        <v>2</v>
      </c>
      <c r="D36" s="13">
        <f t="shared" si="2"/>
        <v>432</v>
      </c>
      <c r="E36" s="1"/>
      <c r="F36" s="1"/>
    </row>
    <row r="37" spans="1:12" x14ac:dyDescent="0.4">
      <c r="A37" s="4" t="s">
        <v>21</v>
      </c>
      <c r="B37" s="10">
        <v>189</v>
      </c>
      <c r="C37" s="11">
        <v>2</v>
      </c>
      <c r="D37" s="13">
        <f t="shared" si="2"/>
        <v>378</v>
      </c>
      <c r="E37" s="1"/>
      <c r="F37" s="1"/>
    </row>
    <row r="38" spans="1:12" x14ac:dyDescent="0.4">
      <c r="A38" s="4" t="s">
        <v>22</v>
      </c>
      <c r="B38" s="10">
        <v>216</v>
      </c>
      <c r="C38" s="11">
        <v>2</v>
      </c>
      <c r="D38" s="13">
        <f t="shared" si="2"/>
        <v>432</v>
      </c>
      <c r="E38" s="1"/>
      <c r="F38" s="1"/>
    </row>
    <row r="39" spans="1:12" x14ac:dyDescent="0.4">
      <c r="A39" s="4" t="s">
        <v>9</v>
      </c>
      <c r="B39" s="10">
        <v>216</v>
      </c>
      <c r="C39" s="11">
        <v>2</v>
      </c>
      <c r="D39" s="13">
        <f t="shared" si="2"/>
        <v>432</v>
      </c>
      <c r="E39" s="1"/>
      <c r="F39" s="1"/>
    </row>
    <row r="40" spans="1:12" x14ac:dyDescent="0.4">
      <c r="A40" s="4" t="s">
        <v>29</v>
      </c>
      <c r="B40" s="36">
        <v>300</v>
      </c>
      <c r="C40" s="11">
        <v>1</v>
      </c>
      <c r="D40" s="13">
        <f t="shared" si="2"/>
        <v>300</v>
      </c>
      <c r="E40" s="1"/>
      <c r="F40" s="1"/>
    </row>
    <row r="41" spans="1:12" x14ac:dyDescent="0.4">
      <c r="A41" s="4"/>
      <c r="B41" s="10"/>
      <c r="C41" s="11">
        <f>SUM(C28:C40)</f>
        <v>21</v>
      </c>
      <c r="D41" s="13">
        <f>SUM(D28:D40)</f>
        <v>5046</v>
      </c>
      <c r="E41" s="16">
        <v>5000</v>
      </c>
      <c r="F41" s="17">
        <f>+E41*0.7</f>
        <v>3500</v>
      </c>
    </row>
    <row r="43" spans="1:12" x14ac:dyDescent="0.4">
      <c r="A43" s="34" t="s">
        <v>59</v>
      </c>
      <c r="B43" s="10" t="s">
        <v>27</v>
      </c>
      <c r="C43" s="11" t="s">
        <v>23</v>
      </c>
      <c r="D43" s="13" t="s">
        <v>28</v>
      </c>
      <c r="E43" s="1" t="s">
        <v>30</v>
      </c>
      <c r="F43" s="1" t="s">
        <v>31</v>
      </c>
    </row>
    <row r="44" spans="1:12" x14ac:dyDescent="0.4">
      <c r="A44" s="33" t="s">
        <v>58</v>
      </c>
      <c r="B44" s="14">
        <v>2800</v>
      </c>
      <c r="C44" s="37">
        <v>1</v>
      </c>
      <c r="D44" s="13">
        <f t="shared" ref="D44:D45" si="3">+B44*C44</f>
        <v>2800</v>
      </c>
      <c r="E44" s="38"/>
      <c r="F44" s="38"/>
    </row>
    <row r="45" spans="1:12" x14ac:dyDescent="0.4">
      <c r="A45" s="33" t="s">
        <v>29</v>
      </c>
      <c r="B45" s="14">
        <v>300</v>
      </c>
      <c r="C45" s="37">
        <v>1</v>
      </c>
      <c r="D45" s="13">
        <f t="shared" si="3"/>
        <v>300</v>
      </c>
      <c r="E45" s="38"/>
      <c r="F45" s="38"/>
    </row>
    <row r="46" spans="1:12" x14ac:dyDescent="0.4">
      <c r="A46" s="28"/>
      <c r="B46" s="14"/>
      <c r="C46" s="37">
        <f>SUM(C44:C45)</f>
        <v>2</v>
      </c>
      <c r="D46" s="13">
        <f>SUM(D44:D45)</f>
        <v>3100</v>
      </c>
      <c r="E46" s="39">
        <v>3100</v>
      </c>
      <c r="F46" s="40">
        <f>+E46*0.7</f>
        <v>2170</v>
      </c>
    </row>
  </sheetData>
  <phoneticPr fontId="2"/>
  <pageMargins left="0.43307086614173229" right="0.23622047244094491" top="0.35433070866141736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門永 一正</dc:creator>
  <cp:lastModifiedBy>門永 一正</cp:lastModifiedBy>
  <cp:lastPrinted>2026-06-02T00:23:12Z</cp:lastPrinted>
  <dcterms:created xsi:type="dcterms:W3CDTF">2026-05-29T01:13:59Z</dcterms:created>
  <dcterms:modified xsi:type="dcterms:W3CDTF">2026-06-03T06:17:12Z</dcterms:modified>
</cp:coreProperties>
</file>